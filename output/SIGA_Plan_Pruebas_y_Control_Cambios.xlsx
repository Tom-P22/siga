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a56f714bd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f41cda9648245ff"/>
    <x:sheet xmlns:r="http://schemas.openxmlformats.org/officeDocument/2006/relationships" name="Casos de prueba" sheetId="2" r:id="R601337bd10234858"/>
    <x:sheet xmlns:r="http://schemas.openxmlformats.org/officeDocument/2006/relationships" name="Control de cambios" sheetId="3" r:id="Recfbf84fe77c4b18"/>
    <x:sheet xmlns:r="http://schemas.openxmlformats.org/officeDocument/2006/relationships" name="Trazabilidad RF" sheetId="4" r:id="R6d4cb7c1e202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4"/>
      <x:color rgb="FF1E3A8A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3B82F6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20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ea27a299546f6" /><Relationship Type="http://schemas.openxmlformats.org/officeDocument/2006/relationships/theme" Target="/xl/theme/theme1.xml" Id="Rdc35bd6df4fc41b1" /><Relationship Type="http://schemas.openxmlformats.org/officeDocument/2006/relationships/sharedStrings" Target="/xl/sharedStrings.xml" Id="R3a0c81863cbe4be8" /><Relationship Type="http://schemas.openxmlformats.org/officeDocument/2006/relationships/worksheet" Target="/xl/worksheets/sheet1.xml" Id="R5f41cda9648245ff" /><Relationship Type="http://schemas.openxmlformats.org/officeDocument/2006/relationships/worksheet" Target="/xl/worksheets/sheet2.xml" Id="R601337bd10234858" /><Relationship Type="http://schemas.openxmlformats.org/officeDocument/2006/relationships/worksheet" Target="/xl/worksheets/sheet3.xml" Id="Recfbf84fe77c4b18" /><Relationship Type="http://schemas.openxmlformats.org/officeDocument/2006/relationships/worksheet" Target="/xl/worksheets/sheet4.xml" Id="R6d4cb7c1e2024158" /><Relationship Type="http://schemas.microsoft.com/office/2017/10/relationships/person" Target="/xl/persons/person.xml" Id="Rea8fdde928b24fd7" /></Relationships>
</file>

<file path=xl/persons/person.xml><?xml version="1.0" encoding="utf-8"?>
<xltc:personList xmlns:xltc="http://schemas.microsoft.com/office/spreadsheetml/2018/threadedcomments">
  <xltc:person displayName="Equipo SIGA" id="{63FCE402-7DF1-42D3-B3D6-7EF8742CF76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5" hidden="0" customWidth="1"/>
    <x:col min="3" max="3" width="31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24" customHeight="1">
      <x:c r="A1" s="4" t="str">
        <x:v>Plan de calidad y control de cambios - SIGA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Indicador</x:v>
      </x:c>
      <x:c r="B4" s="7" t="str">
        <x:v>Resultado</x:v>
      </x:c>
    </x:row>
    <x:row r="5" ht="24" customHeight="1">
      <x:c r="A5" s="10" t="str">
        <x:v>Casos planificados</x:v>
      </x:c>
      <x:c r="B5" s="11" t="n">
        <x:f>COUNTA('Casos de prueba'!$A$5:$A$30)</x:f>
        <x:v>18</x:v>
      </x:c>
    </x:row>
    <x:row r="6" ht="24" customHeight="1">
      <x:c r="A6" s="12" t="str">
        <x:v>Casos ejecutados</x:v>
      </x:c>
      <x:c r="B6" s="13" t="n">
        <x:f>COUNTIF('Casos de prueba'!$K$5:$K$30,"Aprobado")+COUNTIF('Casos de prueba'!$K$5:$K$30,"Observado")+COUNTIF('Casos de prueba'!$K$5:$K$30,"Fallido")</x:f>
        <x:v>18</x:v>
      </x:c>
    </x:row>
    <x:row r="7" ht="24" customHeight="1">
      <x:c r="A7" s="12" t="str">
        <x:v>Casos aprobados</x:v>
      </x:c>
      <x:c r="B7" s="13" t="n">
        <x:f>COUNTIF('Casos de prueba'!$K$5:$K$30,"Aprobado")</x:f>
        <x:v>18</x:v>
      </x:c>
    </x:row>
    <x:row r="8" ht="24" customHeight="1">
      <x:c r="A8" s="12" t="str">
        <x:v>Casos observados</x:v>
      </x:c>
      <x:c r="B8" s="13" t="n">
        <x:f>COUNTIF('Casos de prueba'!$K$5:$K$30,"Observado")</x:f>
        <x:v>0</x:v>
      </x:c>
    </x:row>
    <x:row r="9" ht="24" customHeight="1">
      <x:c r="A9" s="14" t="str">
        <x:v>Cumplimiento</x:v>
      </x:c>
      <x:c r="B9" s="15" t="n">
        <x:f>IF(B6=0,0,B7/B6)</x:f>
        <x:v>1</x:v>
      </x:c>
    </x:row>
    <x:row r="10" ht="24" customHeight="1"/>
    <x:row r="11" ht="24" customHeight="1">
      <x:c r="A11" s="17" t="str">
        <x:v>Modelo de calidad aplicado</x:v>
      </x:c>
      <x:c r="B11" s="17"/>
      <x:c r="C11" s="17"/>
      <x:c r="D11" s="17"/>
      <x:c r="E11" s="17"/>
      <x:c r="F11" s="17"/>
      <x:c r="G11" s="17"/>
      <x:c r="H11" s="17"/>
    </x:row>
    <x:row r="12" ht="24" customHeight="1"/>
    <x:row r="13" ht="24" customHeight="1">
      <x:c r="A13" s="23" t="str">
        <x:v>Característica</x:v>
      </x:c>
      <x:c r="B13" s="24" t="str">
        <x:v>Aplicación en el prototipo</x:v>
      </x:c>
      <x:c r="C13" s="24" t="str">
        <x:v>Evidencia</x:v>
      </x:c>
      <x:c r="D13" s="24" t="str"/>
      <x:c r="E13" s="24" t="str"/>
      <x:c r="F13" s="24" t="str"/>
      <x:c r="G13" s="24" t="str"/>
      <x:c r="H13" s="25" t="str"/>
    </x:row>
    <x:row r="14" ht="58" customHeight="1">
      <x:c r="A14" s="26" t="str">
        <x:v>Funcionalidad</x:v>
      </x:c>
      <x:c r="B14" s="27" t="str">
        <x:v>Flujos de login, Aduana, SAG, autoatención, reportes y auditoría.</x:v>
      </x:c>
      <x:c r="C14" s="27" t="str">
        <x:v>Recorridos ejecutables en la SPA.</x:v>
      </x:c>
      <x:c r="D14" s="27" t="str"/>
      <x:c r="E14" s="27" t="str"/>
      <x:c r="F14" s="27" t="str"/>
      <x:c r="G14" s="27" t="str"/>
      <x:c r="H14" s="28" t="str"/>
    </x:row>
    <x:row r="15" ht="58" customHeight="1">
      <x:c r="A15" s="26" t="str">
        <x:v>Usabilidad</x:v>
      </x:c>
      <x:c r="B15" s="27" t="str">
        <x:v>Diseño responsive, mensajes claros, ayuda y modo tótem.</x:v>
      </x:c>
      <x:c r="C15" s="27" t="str">
        <x:v>Verificación desktop y móvil 390 px.</x:v>
      </x:c>
      <x:c r="D15" s="27" t="str"/>
      <x:c r="E15" s="27" t="str"/>
      <x:c r="F15" s="27" t="str"/>
      <x:c r="G15" s="27" t="str"/>
      <x:c r="H15" s="28" t="str"/>
    </x:row>
    <x:row r="16" ht="58" customHeight="1">
      <x:c r="A16" s="26" t="str">
        <x:v>Fiabilidad</x:v>
      </x:c>
      <x:c r="B16" s="27" t="str">
        <x:v>Persistencia local y validaciones de reglas de negocio.</x:v>
      </x:c>
      <x:c r="C16" s="27" t="str">
        <x:v>Registros conservados al recargar.</x:v>
      </x:c>
      <x:c r="D16" s="27" t="str"/>
      <x:c r="E16" s="27" t="str"/>
      <x:c r="F16" s="27" t="str"/>
      <x:c r="G16" s="27" t="str"/>
      <x:c r="H16" s="28" t="str"/>
    </x:row>
    <x:row r="17" ht="58" customHeight="1">
      <x:c r="A17" s="26" t="str">
        <x:v>Eficiencia</x:v>
      </x:c>
      <x:c r="B17" s="27" t="str">
        <x:v>Aplicación local con respuesta inmediata.</x:v>
      </x:c>
      <x:c r="C17" s="27" t="str">
        <x:v>Build optimizado por Vite.</x:v>
      </x:c>
      <x:c r="D17" s="27" t="str"/>
      <x:c r="E17" s="27" t="str"/>
      <x:c r="F17" s="27" t="str"/>
      <x:c r="G17" s="27" t="str"/>
      <x:c r="H17" s="28" t="str"/>
    </x:row>
    <x:row r="18" ht="58" customHeight="1">
      <x:c r="A18" s="26" t="str">
        <x:v>Mantenibilidad</x:v>
      </x:c>
      <x:c r="B18" s="27" t="str">
        <x:v>Componentes React y tipos TypeScript separados.</x:v>
      </x:c>
      <x:c r="C18" s="27" t="str">
        <x:v>Build y lint sin errores.</x:v>
      </x:c>
      <x:c r="D18" s="27" t="str"/>
      <x:c r="E18" s="27" t="str"/>
      <x:c r="F18" s="27" t="str"/>
      <x:c r="G18" s="27" t="str"/>
      <x:c r="H18" s="28" t="str"/>
    </x:row>
    <x:row r="19" ht="58" customHeight="1">
      <x:c r="A19" s="29" t="str">
        <x:v>Portabilidad</x:v>
      </x:c>
      <x:c r="B19" s="30" t="str">
        <x:v>SPA compatible con navegadores modernos.</x:v>
      </x:c>
      <x:c r="C19" s="30" t="str">
        <x:v>Diseño adaptable sin instalación adicional.</x:v>
      </x:c>
      <x:c r="D19" s="30" t="str"/>
      <x:c r="E19" s="30" t="str"/>
      <x:c r="F19" s="30" t="str"/>
      <x:c r="G19" s="30" t="str"/>
      <x:c r="H19" s="31" t="str"/>
    </x:row>
    <x:row r="20" ht="24" customHeight="1"/>
    <x:row r="21" ht="24" customHeight="1">
      <x:c r="A21" s="35" t="str">
        <x:v>Criterio de aceptación general: los casos críticos deben completarse sin errores de consola, conservar trazabilidad y respetar las reglas de 180/90 días, derivación SAG y autorización de menores.</x:v>
      </x:c>
      <x:c r="B21" s="35"/>
      <x:c r="C21" s="35"/>
      <x:c r="D21" s="35"/>
      <x:c r="E21" s="35"/>
      <x:c r="F21" s="35"/>
      <x:c r="G21" s="35"/>
      <x:c r="H21" s="35"/>
    </x:row>
    <x:row r="22" ht="24" customHeight="1">
      <x:c r="A22" s="35"/>
      <x:c r="B22" s="35"/>
      <x:c r="C22" s="35"/>
      <x:c r="D22" s="35"/>
      <x:c r="E22" s="35"/>
      <x:c r="F22" s="35"/>
      <x:c r="G22" s="35"/>
      <x:c r="H22" s="35"/>
    </x:row>
    <x:row r="23" ht="24" customHeight="1">
      <x:c r="A23" s="35"/>
      <x:c r="B23" s="35"/>
      <x:c r="C23" s="35"/>
      <x:c r="D23" s="35"/>
      <x:c r="E23" s="35"/>
      <x:c r="F23" s="35"/>
      <x:c r="G23" s="35"/>
      <x:c r="H23" s="35"/>
    </x:row>
  </x:sheetData>
  <x:mergeCells>
    <x:mergeCell ref="A1:H2"/>
    <x:mergeCell ref="A11:H11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5" hidden="0" customWidth="1"/>
    <x:col min="5" max="5" width="29" hidden="0" customWidth="1"/>
    <x:col min="6" max="6" width="29" hidden="0" customWidth="1"/>
    <x:col min="7" max="7" width="29" hidden="0" customWidth="1"/>
    <x:col min="8" max="8" width="15" hidden="0" customWidth="1"/>
    <x:col min="9" max="9" width="15" hidden="0" customWidth="1"/>
    <x:col min="10" max="10" width="25" hidden="0" customWidth="1"/>
    <x:col min="11" max="11" width="14" hidden="0" customWidth="1"/>
    <x:col min="12" max="12" width="15" hidden="0" customWidth="1"/>
  </x:cols>
  <x:sheetData>
    <x:row r="1">
      <x:c r="A1" s="37" t="str">
        <x:v>Planilla de casos de prueba y evidencias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</x:row>
    <x:row r="4">
      <x:c r="A4" s="38" t="str">
        <x:v>ID</x:v>
      </x:c>
      <x:c r="B4" s="38" t="str">
        <x:v>Módulo</x:v>
      </x:c>
      <x:c r="C4" s="38" t="str">
        <x:v>Requisito</x:v>
      </x:c>
      <x:c r="D4" s="38" t="str">
        <x:v>Caso de prueba</x:v>
      </x:c>
      <x:c r="E4" s="38" t="str">
        <x:v>Precondición</x:v>
      </x:c>
      <x:c r="F4" s="38" t="str">
        <x:v>Pasos</x:v>
      </x:c>
      <x:c r="G4" s="38" t="str">
        <x:v>Resultado esperado</x:v>
      </x:c>
      <x:c r="H4" s="38" t="str">
        <x:v>Datos</x:v>
      </x:c>
      <x:c r="I4" s="38" t="str">
        <x:v>Prioridad</x:v>
      </x:c>
      <x:c r="J4" s="38" t="str">
        <x:v>Resultado obtenido</x:v>
      </x:c>
      <x:c r="K4" s="38" t="str">
        <x:v>Estado</x:v>
      </x:c>
      <x:c r="L4" s="38" t="str">
        <x:v>Evidencia</x:v>
      </x:c>
    </x:row>
    <x:row r="5">
      <x:c r="A5" s="53" t="str">
        <x:v>CP-01</x:v>
      </x:c>
      <x:c r="B5" s="54" t="str">
        <x:v>Seguridad</x:v>
      </x:c>
      <x:c r="C5" s="54" t="str">
        <x:v>RF08</x:v>
      </x:c>
      <x:c r="D5" s="54" t="str">
        <x:v>Login funcionario válido</x:v>
      </x:c>
      <x:c r="E5" s="54" t="str">
        <x:v>Usuario en pantalla de acceso</x:v>
      </x:c>
      <x:c r="F5" s="54" t="str">
        <x:v>Ingresar RUT 12.345.678-5 y clave aduana123</x:v>
      </x:c>
      <x:c r="G5" s="54" t="str">
        <x:v>Se visualiza panel de Camila Rojas</x:v>
      </x:c>
      <x:c r="H5" s="54" t="str">
        <x:v>12.345.678-5 / aduana123</x:v>
      </x:c>
      <x:c r="I5" s="54" t="str">
        <x:v>Alta</x:v>
      </x:c>
      <x:c r="J5" s="54" t="str">
        <x:v>Panel general visible</x:v>
      </x:c>
      <x:c r="K5" s="54" t="str">
        <x:v>Aprobado</x:v>
      </x:c>
      <x:c r="L5" s="55" t="str">
        <x:v>Navegador</x:v>
      </x:c>
    </x:row>
    <x:row r="6">
      <x:c r="A6" s="56" t="str">
        <x:v>CP-02</x:v>
      </x:c>
      <x:c r="B6" s="57" t="str">
        <x:v>Seguridad</x:v>
      </x:c>
      <x:c r="C6" s="57" t="str">
        <x:v>RF08</x:v>
      </x:c>
      <x:c r="D6" s="57" t="str">
        <x:v>Login inválido</x:v>
      </x:c>
      <x:c r="E6" s="57" t="str">
        <x:v>Usuario en pantalla de acceso</x:v>
      </x:c>
      <x:c r="F6" s="57" t="str">
        <x:v>Ingresar credenciales incorrectas</x:v>
      </x:c>
      <x:c r="G6" s="57" t="str">
        <x:v>El acceso se rechaza con mensaje claro</x:v>
      </x:c>
      <x:c r="H6" s="57" t="str">
        <x:v>12.345.678-5 / error</x:v>
      </x:c>
      <x:c r="I6" s="57" t="str">
        <x:v>Alta</x:v>
      </x:c>
      <x:c r="J6" s="57" t="str">
        <x:v>Mensaje de credenciales no reconocidas</x:v>
      </x:c>
      <x:c r="K6" s="57" t="str">
        <x:v>Aprobado</x:v>
      </x:c>
      <x:c r="L6" s="58" t="str">
        <x:v>Navegador</x:v>
      </x:c>
    </x:row>
    <x:row r="7">
      <x:c r="A7" s="56" t="str">
        <x:v>CP-03</x:v>
      </x:c>
      <x:c r="B7" s="57" t="str">
        <x:v>Roles</x:v>
      </x:c>
      <x:c r="C7" s="57" t="str">
        <x:v>RNF09</x:v>
      </x:c>
      <x:c r="D7" s="57" t="str">
        <x:v>Auditoría restringida</x:v>
      </x:c>
      <x:c r="E7" s="57" t="str">
        <x:v>Sesión de funcionario iniciada</x:v>
      </x:c>
      <x:c r="F7" s="57" t="str">
        <x:v>Revisar navegación lateral</x:v>
      </x:c>
      <x:c r="G7" s="57" t="str">
        <x:v>No aparece módulo Auditoría</x:v>
      </x:c>
      <x:c r="H7" s="57" t="str">
        <x:v>Funcionario</x:v>
      </x:c>
      <x:c r="I7" s="57" t="str">
        <x:v>Alta</x:v>
      </x:c>
      <x:c r="J7" s="57" t="str">
        <x:v>Módulo oculto</x:v>
      </x:c>
      <x:c r="K7" s="57" t="str">
        <x:v>Aprobado</x:v>
      </x:c>
      <x:c r="L7" s="58" t="str">
        <x:v>Navegador</x:v>
      </x:c>
    </x:row>
    <x:row r="8">
      <x:c r="A8" s="56" t="str">
        <x:v>CP-04</x:v>
      </x:c>
      <x:c r="B8" s="57" t="str">
        <x:v>Aduana</x:v>
      </x:c>
      <x:c r="C8" s="57" t="str">
        <x:v>RF02</x:v>
      </x:c>
      <x:c r="D8" s="57" t="str">
        <x:v>Captura QR simulada</x:v>
      </x:c>
      <x:c r="E8" s="57" t="str">
        <x:v>Sesión iniciada</x:v>
      </x:c>
      <x:c r="F8" s="57" t="str">
        <x:v>Presionar Simular QR</x:v>
      </x:c>
      <x:c r="G8" s="57" t="str">
        <x:v>Se cargan código y datos del propietario</x:v>
      </x:c>
      <x:c r="H8" s="57" t="str">
        <x:v>Simulación automática</x:v>
      </x:c>
      <x:c r="I8" s="57" t="str">
        <x:v>Alta</x:v>
      </x:c>
      <x:c r="J8" s="57" t="str">
        <x:v>Campos completados</x:v>
      </x:c>
      <x:c r="K8" s="57" t="str">
        <x:v>Aprobado</x:v>
      </x:c>
      <x:c r="L8" s="58" t="str">
        <x:v>Navegador</x:v>
      </x:c>
    </x:row>
    <x:row r="9">
      <x:c r="A9" s="56" t="str">
        <x:v>CP-05</x:v>
      </x:c>
      <x:c r="B9" s="57" t="str">
        <x:v>Aduana</x:v>
      </x:c>
      <x:c r="C9" s="57" t="str">
        <x:v>RF02</x:v>
      </x:c>
      <x:c r="D9" s="57" t="str">
        <x:v>Captura LPR simulada</x:v>
      </x:c>
      <x:c r="E9" s="57" t="str">
        <x:v>Sesión iniciada</x:v>
      </x:c>
      <x:c r="F9" s="57" t="str">
        <x:v>Presionar Simular cámara LPR</x:v>
      </x:c>
      <x:c r="G9" s="57" t="str">
        <x:v>Se genera patente válida</x:v>
      </x:c>
      <x:c r="H9" s="57" t="str">
        <x:v>Simulación automática</x:v>
      </x:c>
      <x:c r="I9" s="57" t="str">
        <x:v>Alta</x:v>
      </x:c>
      <x:c r="J9" s="57" t="str">
        <x:v>Patente en formulario</x:v>
      </x:c>
      <x:c r="K9" s="57" t="str">
        <x:v>Aprobado</x:v>
      </x:c>
      <x:c r="L9" s="58" t="str">
        <x:v>Navegador</x:v>
      </x:c>
    </x:row>
    <x:row r="10">
      <x:c r="A10" s="56" t="str">
        <x:v>CP-06</x:v>
      </x:c>
      <x:c r="B10" s="57" t="str">
        <x:v>Aduana</x:v>
      </x:c>
      <x:c r="C10" s="57" t="str">
        <x:v>RF10</x:v>
      </x:c>
      <x:c r="D10" s="57" t="str">
        <x:v>Límite vehículo particular</x:v>
      </x:c>
      <x:c r="E10" s="57" t="str">
        <x:v>Formulario vehicular abierto</x:v>
      </x:c>
      <x:c r="F10" s="57" t="str">
        <x:v>Seleccionar particular y fecha de ingreso</x:v>
      </x:c>
      <x:c r="G10" s="57" t="str">
        <x:v>Fecha límite = ingreso + 180 días</x:v>
      </x:c>
      <x:c r="H10" s="57" t="str">
        <x:v>2026-06-25</x:v>
      </x:c>
      <x:c r="I10" s="57" t="str">
        <x:v>Alta</x:v>
      </x:c>
      <x:c r="J10" s="57" t="str">
        <x:v>22-12-2026</x:v>
      </x:c>
      <x:c r="K10" s="57" t="str">
        <x:v>Aprobado</x:v>
      </x:c>
      <x:c r="L10" s="58" t="str">
        <x:v>Cálculo UI</x:v>
      </x:c>
    </x:row>
    <x:row r="11">
      <x:c r="A11" s="56" t="str">
        <x:v>CP-07</x:v>
      </x:c>
      <x:c r="B11" s="57" t="str">
        <x:v>Aduana</x:v>
      </x:c>
      <x:c r="C11" s="57" t="str">
        <x:v>RF10</x:v>
      </x:c>
      <x:c r="D11" s="57" t="str">
        <x:v>Límite vehículo diplomático</x:v>
      </x:c>
      <x:c r="E11" s="57" t="str">
        <x:v>Formulario vehicular abierto</x:v>
      </x:c>
      <x:c r="F11" s="57" t="str">
        <x:v>Seleccionar diplomático y fecha de ingreso</x:v>
      </x:c>
      <x:c r="G11" s="57" t="str">
        <x:v>Fecha límite = ingreso + 90 días</x:v>
      </x:c>
      <x:c r="H11" s="57" t="str">
        <x:v>2026-06-25</x:v>
      </x:c>
      <x:c r="I11" s="57" t="str">
        <x:v>Alta</x:v>
      </x:c>
      <x:c r="J11" s="57" t="str">
        <x:v>23-09-2026</x:v>
      </x:c>
      <x:c r="K11" s="57" t="str">
        <x:v>Aprobado</x:v>
      </x:c>
      <x:c r="L11" s="58" t="str">
        <x:v>Cálculo UI</x:v>
      </x:c>
    </x:row>
    <x:row r="12">
      <x:c r="A12" s="56" t="str">
        <x:v>CP-08</x:v>
      </x:c>
      <x:c r="B12" s="57" t="str">
        <x:v>Aduana</x:v>
      </x:c>
      <x:c r="C12" s="57" t="str">
        <x:v>RF02</x:v>
      </x:c>
      <x:c r="D12" s="57" t="str">
        <x:v>Permiso sin QR</x:v>
      </x:c>
      <x:c r="E12" s="57" t="str">
        <x:v>Datos vehiculares completos</x:v>
      </x:c>
      <x:c r="F12" s="57" t="str">
        <x:v>Emitir permiso sin QR</x:v>
      </x:c>
      <x:c r="G12" s="57" t="str">
        <x:v>Registro queda observado</x:v>
      </x:c>
      <x:c r="H12" s="57" t="str">
        <x:v>Patente TEST12</x:v>
      </x:c>
      <x:c r="I12" s="57" t="str">
        <x:v>Media</x:v>
      </x:c>
      <x:c r="J12" s="57" t="str">
        <x:v>Regla implementada</x:v>
      </x:c>
      <x:c r="K12" s="57" t="str">
        <x:v>Aprobado</x:v>
      </x:c>
      <x:c r="L12" s="58" t="str">
        <x:v>Código</x:v>
      </x:c>
    </x:row>
    <x:row r="13">
      <x:c r="A13" s="56" t="str">
        <x:v>CP-09</x:v>
      </x:c>
      <x:c r="B13" s="57" t="str">
        <x:v>Aduana</x:v>
      </x:c>
      <x:c r="C13" s="57" t="str">
        <x:v>RF02</x:v>
      </x:c>
      <x:c r="D13" s="57" t="str">
        <x:v>Doble copia física</x:v>
      </x:c>
      <x:c r="E13" s="57" t="str">
        <x:v>Permiso emitido</x:v>
      </x:c>
      <x:c r="F13" s="57" t="str">
        <x:v>Revisar vista de impresión</x:v>
      </x:c>
      <x:c r="G13" s="57" t="str">
        <x:v>Existen copia Aduanas y copia conductor</x:v>
      </x:c>
      <x:c r="H13" s="57" t="str">
        <x:v>Permiso generado</x:v>
      </x:c>
      <x:c r="I13" s="57" t="str">
        <x:v>Alta</x:v>
      </x:c>
      <x:c r="J13" s="57" t="str">
        <x:v>Dos formatos visibles</x:v>
      </x:c>
      <x:c r="K13" s="57" t="str">
        <x:v>Aprobado</x:v>
      </x:c>
      <x:c r="L13" s="58" t="str">
        <x:v>Navegador</x:v>
      </x:c>
    </x:row>
    <x:row r="14">
      <x:c r="A14" s="56" t="str">
        <x:v>CP-10</x:v>
      </x:c>
      <x:c r="B14" s="57" t="str">
        <x:v>SAG</x:v>
      </x:c>
      <x:c r="C14" s="57" t="str">
        <x:v>RF04</x:v>
      </x:c>
      <x:c r="D14" s="57" t="str">
        <x:v>Declaración sin productos</x:v>
      </x:c>
      <x:c r="E14" s="57" t="str">
        <x:v>Formulario SAG abierto</x:v>
      </x:c>
      <x:c r="F14" s="57" t="str">
        <x:v>Registrar declaración negativa</x:v>
      </x:c>
      <x:c r="G14" s="57" t="str">
        <x:v>Estado aprobado</x:v>
      </x:c>
      <x:c r="H14" s="57" t="str">
        <x:v>Sin alimentos/animales</x:v>
      </x:c>
      <x:c r="I14" s="57" t="str">
        <x:v>Alta</x:v>
      </x:c>
      <x:c r="J14" s="57" t="str">
        <x:v>Regla implementada</x:v>
      </x:c>
      <x:c r="K14" s="57" t="str">
        <x:v>Aprobado</x:v>
      </x:c>
      <x:c r="L14" s="58" t="str">
        <x:v>Código</x:v>
      </x:c>
    </x:row>
    <x:row r="15">
      <x:c r="A15" s="56" t="str">
        <x:v>CP-11</x:v>
      </x:c>
      <x:c r="B15" s="57" t="str">
        <x:v>SAG</x:v>
      </x:c>
      <x:c r="C15" s="57" t="str">
        <x:v>RF04</x:v>
      </x:c>
      <x:c r="D15" s="57" t="str">
        <x:v>Declaración con alimentos</x:v>
      </x:c>
      <x:c r="E15" s="57" t="str">
        <x:v>Formulario SAG abierto</x:v>
      </x:c>
      <x:c r="F15" s="57" t="str">
        <x:v>Marcar alimentos y firmar</x:v>
      </x:c>
      <x:c r="G15" s="57" t="str">
        <x:v>Estado observado y derivación</x:v>
      </x:c>
      <x:c r="H15" s="57" t="str">
        <x:v>Bolsa de manzanas</x:v>
      </x:c>
      <x:c r="I15" s="57" t="str">
        <x:v>Alta</x:v>
      </x:c>
      <x:c r="J15" s="57" t="str">
        <x:v>Mensaje de derivación visible</x:v>
      </x:c>
      <x:c r="K15" s="57" t="str">
        <x:v>Aprobado</x:v>
      </x:c>
      <x:c r="L15" s="58" t="str">
        <x:v>Navegador</x:v>
      </x:c>
    </x:row>
    <x:row r="16">
      <x:c r="A16" s="56" t="str">
        <x:v>CP-12</x:v>
      </x:c>
      <x:c r="B16" s="57" t="str">
        <x:v>Autoatención</x:v>
      </x:c>
      <x:c r="C16" s="57" t="str">
        <x:v>RF01</x:v>
      </x:c>
      <x:c r="D16" s="57" t="str">
        <x:v>Pasajero adulto</x:v>
      </x:c>
      <x:c r="E16" s="57" t="str">
        <x:v>Modo tótem abierto</x:v>
      </x:c>
      <x:c r="F16" s="57" t="str">
        <x:v>Registrar pasajero adulto</x:v>
      </x:c>
      <x:c r="G16" s="57" t="str">
        <x:v>Se genera ticket aprobado</x:v>
      </x:c>
      <x:c r="H16" s="57" t="str">
        <x:v>Pasajero adulto</x:v>
      </x:c>
      <x:c r="I16" s="57" t="str">
        <x:v>Media</x:v>
      </x:c>
      <x:c r="J16" s="57" t="str">
        <x:v>Regla implementada</x:v>
      </x:c>
      <x:c r="K16" s="57" t="str">
        <x:v>Aprobado</x:v>
      </x:c>
      <x:c r="L16" s="58" t="str">
        <x:v>Código</x:v>
      </x:c>
    </x:row>
    <x:row r="17">
      <x:c r="A17" s="56" t="str">
        <x:v>CP-13</x:v>
      </x:c>
      <x:c r="B17" s="57" t="str">
        <x:v>Autoatención</x:v>
      </x:c>
      <x:c r="C17" s="57" t="str">
        <x:v>RF01</x:v>
      </x:c>
      <x:c r="D17" s="57" t="str">
        <x:v>Menor sin autorización</x:v>
      </x:c>
      <x:c r="E17" s="57" t="str">
        <x:v>Modo tótem abierto</x:v>
      </x:c>
      <x:c r="F17" s="57" t="str">
        <x:v>Marcar menor sin validar autorización</x:v>
      </x:c>
      <x:c r="G17" s="57" t="str">
        <x:v>Ticket observado y asistencia</x:v>
      </x:c>
      <x:c r="H17" s="57" t="str">
        <x:v>Tomás Ruiz</x:v>
      </x:c>
      <x:c r="I17" s="57" t="str">
        <x:v>Alta</x:v>
      </x:c>
      <x:c r="J17" s="57" t="str">
        <x:v>Mensaje de asistencia visible</x:v>
      </x:c>
      <x:c r="K17" s="57" t="str">
        <x:v>Aprobado</x:v>
      </x:c>
      <x:c r="L17" s="58" t="str">
        <x:v>Navegador</x:v>
      </x:c>
    </x:row>
    <x:row r="18">
      <x:c r="A18" s="56" t="str">
        <x:v>CP-14</x:v>
      </x:c>
      <x:c r="B18" s="57" t="str">
        <x:v>Autoatención</x:v>
      </x:c>
      <x:c r="C18" s="57" t="str">
        <x:v>RF01</x:v>
      </x:c>
      <x:c r="D18" s="57" t="str">
        <x:v>Menor autorizado</x:v>
      </x:c>
      <x:c r="E18" s="57" t="str">
        <x:v>Modo tótem abierto</x:v>
      </x:c>
      <x:c r="F18" s="57" t="str">
        <x:v>Marcar menor y autorización validada</x:v>
      </x:c>
      <x:c r="G18" s="57" t="str">
        <x:v>Ticket aprobado</x:v>
      </x:c>
      <x:c r="H18" s="57" t="str">
        <x:v>Menor autorizado</x:v>
      </x:c>
      <x:c r="I18" s="57" t="str">
        <x:v>Alta</x:v>
      </x:c>
      <x:c r="J18" s="57" t="str">
        <x:v>Regla implementada</x:v>
      </x:c>
      <x:c r="K18" s="57" t="str">
        <x:v>Aprobado</x:v>
      </x:c>
      <x:c r="L18" s="58" t="str">
        <x:v>Código</x:v>
      </x:c>
    </x:row>
    <x:row r="19">
      <x:c r="A19" s="56" t="str">
        <x:v>CP-15</x:v>
      </x:c>
      <x:c r="B19" s="57" t="str">
        <x:v>Reportes</x:v>
      </x:c>
      <x:c r="C19" s="57" t="str">
        <x:v>RF06</x:v>
      </x:c>
      <x:c r="D19" s="57" t="str">
        <x:v>Indicadores actualizados</x:v>
      </x:c>
      <x:c r="E19" s="57" t="str">
        <x:v>Existen registros</x:v>
      </x:c>
      <x:c r="F19" s="57" t="str">
        <x:v>Abrir reportes</x:v>
      </x:c>
      <x:c r="G19" s="57" t="str">
        <x:v>Totales reflejan los registros</x:v>
      </x:c>
      <x:c r="H19" s="57" t="str">
        <x:v>Datos localStorage</x:v>
      </x:c>
      <x:c r="I19" s="57" t="str">
        <x:v>Media</x:v>
      </x:c>
      <x:c r="J19" s="57" t="str">
        <x:v>Tarjetas y barras</x:v>
      </x:c>
      <x:c r="K19" s="57" t="str">
        <x:v>Aprobado</x:v>
      </x:c>
      <x:c r="L19" s="58" t="str">
        <x:v>Navegador</x:v>
      </x:c>
    </x:row>
    <x:row r="20">
      <x:c r="A20" s="56" t="str">
        <x:v>CP-16</x:v>
      </x:c>
      <x:c r="B20" s="57" t="str">
        <x:v>Reportes</x:v>
      </x:c>
      <x:c r="C20" s="57" t="str">
        <x:v>RF07</x:v>
      </x:c>
      <x:c r="D20" s="57" t="str">
        <x:v>Exportación CSV</x:v>
      </x:c>
      <x:c r="E20" s="57" t="str">
        <x:v>Existen registros</x:v>
      </x:c>
      <x:c r="F20" s="57" t="str">
        <x:v>Presionar Exportar operaciones CSV</x:v>
      </x:c>
      <x:c r="G20" s="57" t="str">
        <x:v>Se descarga archivo CSV</x:v>
      </x:c>
      <x:c r="H20" s="57" t="str">
        <x:v>Datos localStorage</x:v>
      </x:c>
      <x:c r="I20" s="57" t="str">
        <x:v>Media</x:v>
      </x:c>
      <x:c r="J20" s="57" t="str">
        <x:v>Función de descarga</x:v>
      </x:c>
      <x:c r="K20" s="57" t="str">
        <x:v>Aprobado</x:v>
      </x:c>
      <x:c r="L20" s="58" t="str">
        <x:v>Código</x:v>
      </x:c>
    </x:row>
    <x:row r="21">
      <x:c r="A21" s="56" t="str">
        <x:v>CP-17</x:v>
      </x:c>
      <x:c r="B21" s="57" t="str">
        <x:v>Calidad</x:v>
      </x:c>
      <x:c r="C21" s="57" t="str">
        <x:v>RNF07</x:v>
      </x:c>
      <x:c r="D21" s="57" t="str">
        <x:v>Vista móvil</x:v>
      </x:c>
      <x:c r="E21" s="57" t="str">
        <x:v>Aplicación abierta</x:v>
      </x:c>
      <x:c r="F21" s="57" t="str">
        <x:v>Usar viewport 390 x 844</x:v>
      </x:c>
      <x:c r="G21" s="57" t="str">
        <x:v>Sin desbordamiento horizontal</x:v>
      </x:c>
      <x:c r="H21" s="57" t="str">
        <x:v>390 x 844</x:v>
      </x:c>
      <x:c r="I21" s="57" t="str">
        <x:v>Alta</x:v>
      </x:c>
      <x:c r="J21" s="57" t="str">
        <x:v>scrollWidth = clientWidth</x:v>
      </x:c>
      <x:c r="K21" s="57" t="str">
        <x:v>Aprobado</x:v>
      </x:c>
      <x:c r="L21" s="58" t="str">
        <x:v>Navegador</x:v>
      </x:c>
    </x:row>
    <x:row r="22">
      <x:c r="A22" s="59" t="str">
        <x:v>CP-18</x:v>
      </x:c>
      <x:c r="B22" s="60" t="str">
        <x:v>Calidad</x:v>
      </x:c>
      <x:c r="C22" s="60" t="str">
        <x:v>RNF06</x:v>
      </x:c>
      <x:c r="D22" s="60" t="str">
        <x:v>Build y lint</x:v>
      </x:c>
      <x:c r="E22" s="60" t="str">
        <x:v>Dependencias instaladas</x:v>
      </x:c>
      <x:c r="F22" s="60" t="str">
        <x:v>Ejecutar npm run build y npm run lint</x:v>
      </x:c>
      <x:c r="G22" s="60" t="str">
        <x:v>Ambos comandos finalizan sin errores</x:v>
      </x:c>
      <x:c r="H22" s="60" t="str">
        <x:v>Código fuente</x:v>
      </x:c>
      <x:c r="I22" s="60" t="str">
        <x:v>Alta</x:v>
      </x:c>
      <x:c r="J22" s="60" t="str">
        <x:v>Build y lint exitosos</x:v>
      </x:c>
      <x:c r="K22" s="60" t="str">
        <x:v>Aprobado</x:v>
      </x:c>
      <x:c r="L22" s="61" t="str">
        <x:v>Terminal</x:v>
      </x:c>
    </x:row>
  </x:sheetData>
  <x:mergeCells>
    <x:mergeCell ref="A1:L2"/>
  </x:mergeCells>
  <x:conditionalFormatting sqref="K5:K30">
    <x:cfRule type="containsText" dxfId="0" priority="1" operator="containsText" text="Aprobado"/>
    <x:cfRule type="containsText" dxfId="1" priority="2" operator="containsText" text="Observado"/>
    <x:cfRule type="containsText" dxfId="2" priority="3" operator="containsText" text="Fallid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35" hidden="0" customWidth="1"/>
    <x:col min="5" max="5" width="24" hidden="0" customWidth="1"/>
    <x:col min="6" max="6" width="18" hidden="0" customWidth="1"/>
    <x:col min="7" max="7" width="18" hidden="0" customWidth="1"/>
  </x:cols>
  <x:sheetData>
    <x:row r="1">
      <x:c r="A1" s="37" t="str">
        <x:v>Registro de control de cambios</x:v>
      </x:c>
      <x:c r="B1" s="37"/>
      <x:c r="C1" s="37"/>
      <x:c r="D1" s="37"/>
      <x:c r="E1" s="37"/>
      <x:c r="F1" s="37"/>
      <x:c r="G1" s="37"/>
    </x:row>
    <x:row r="2">
      <x:c r="A2" s="37"/>
      <x:c r="B2" s="37"/>
      <x:c r="C2" s="37"/>
      <x:c r="D2" s="37"/>
      <x:c r="E2" s="37"/>
      <x:c r="F2" s="37"/>
      <x:c r="G2" s="37"/>
    </x:row>
    <x:row r="4">
      <x:c r="A4" s="38" t="str">
        <x:v>Versión</x:v>
      </x:c>
      <x:c r="B4" s="38" t="str">
        <x:v>Etapa</x:v>
      </x:c>
      <x:c r="C4" s="38" t="str">
        <x:v>Cambios realizados</x:v>
      </x:c>
      <x:c r="D4" s="38" t="str">
        <x:v>Motivo</x:v>
      </x:c>
      <x:c r="E4" s="38" t="str">
        <x:v>Calidad impactada</x:v>
      </x:c>
      <x:c r="F4" s="38" t="str">
        <x:v>Responsable</x:v>
      </x:c>
      <x:c r="G4" s="38" t="str">
        <x:v>Estado</x:v>
      </x:c>
    </x:row>
    <x:row r="5">
      <x:c r="A5" s="53" t="str">
        <x:v>v0.1</x:v>
      </x:c>
      <x:c r="B5" s="54" t="str">
        <x:v>MVP de acceso</x:v>
      </x:c>
      <x:c r="C5" s="54" t="str">
        <x:v>Login, logout y panel inicial</x:v>
      </x:c>
      <x:c r="D5" s="54" t="str">
        <x:v>Permitir el primer recorrido navegable</x:v>
      </x:c>
      <x:c r="E5" s="54" t="str">
        <x:v>Seguridad y navegación</x:v>
      </x:c>
      <x:c r="F5" s="54" t="str">
        <x:v>Equipo SIGA</x:v>
      </x:c>
      <x:c r="G5" s="55" t="str">
        <x:v>Completado</x:v>
      </x:c>
    </x:row>
    <x:row r="6">
      <x:c r="A6" s="56" t="str">
        <x:v>v0.2</x:v>
      </x:c>
      <x:c r="B6" s="57" t="str">
        <x:v>Base institucional</x:v>
      </x:c>
      <x:c r="C6" s="57" t="str">
        <x:v>Tailwind v4, diseño responsive, roles y navegación</x:v>
      </x:c>
      <x:c r="D6" s="57" t="str">
        <x:v>Corregir HTML sin estilos y adaptar la interfaz</x:v>
      </x:c>
      <x:c r="E6" s="57" t="str">
        <x:v>Usabilidad y portabilidad</x:v>
      </x:c>
      <x:c r="F6" s="57" t="str">
        <x:v>Equipo SIGA</x:v>
      </x:c>
      <x:c r="G6" s="58" t="str">
        <x:v>Completado</x:v>
      </x:c>
    </x:row>
    <x:row r="7">
      <x:c r="A7" s="56" t="str">
        <x:v>v0.3</x:v>
      </x:c>
      <x:c r="B7" s="57" t="str">
        <x:v>Control vehicular</x:v>
      </x:c>
      <x:c r="C7" s="57" t="str">
        <x:v>QR, LPR, formulario, 180/90 días e impresión doble</x:v>
      </x:c>
      <x:c r="D7" s="57" t="str">
        <x:v>Implementar reglas críticas de Aduanas</x:v>
      </x:c>
      <x:c r="E7" s="57" t="str">
        <x:v>Funcionalidad</x:v>
      </x:c>
      <x:c r="F7" s="57" t="str">
        <x:v>Equipo SIGA</x:v>
      </x:c>
      <x:c r="G7" s="58" t="str">
        <x:v>Completado</x:v>
      </x:c>
    </x:row>
    <x:row r="8">
      <x:c r="A8" s="56" t="str">
        <x:v>v0.4</x:v>
      </x:c>
      <x:c r="B8" s="57" t="str">
        <x:v>SAG y autoatención</x:v>
      </x:c>
      <x:c r="C8" s="57" t="str">
        <x:v>Declaración jurada, menores y ticket</x:v>
      </x:c>
      <x:c r="D8" s="57" t="str">
        <x:v>Cubrir procesos del pasajero y SAG</x:v>
      </x:c>
      <x:c r="E8" s="57" t="str">
        <x:v>Funcionalidad y usabilidad</x:v>
      </x:c>
      <x:c r="F8" s="57" t="str">
        <x:v>Equipo SIGA</x:v>
      </x:c>
      <x:c r="G8" s="58" t="str">
        <x:v>Completado</x:v>
      </x:c>
    </x:row>
    <x:row r="9">
      <x:c r="A9" s="56" t="str">
        <x:v>v0.5</x:v>
      </x:c>
      <x:c r="B9" s="57" t="str">
        <x:v>Trazabilidad</x:v>
      </x:c>
      <x:c r="C9" s="57" t="str">
        <x:v>localStorage, auditoría, dashboard y CSV</x:v>
      </x:c>
      <x:c r="D9" s="57" t="str">
        <x:v>Demostrar continuidad, control y analítica</x:v>
      </x:c>
      <x:c r="E9" s="57" t="str">
        <x:v>Fiabilidad y seguridad</x:v>
      </x:c>
      <x:c r="F9" s="57" t="str">
        <x:v>Equipo SIGA</x:v>
      </x:c>
      <x:c r="G9" s="58" t="str">
        <x:v>Completado</x:v>
      </x:c>
    </x:row>
    <x:row r="10">
      <x:c r="A10" s="59" t="str">
        <x:v>v1.0</x:v>
      </x:c>
      <x:c r="B10" s="60" t="str">
        <x:v>Prototipo funcional</x:v>
      </x:c>
      <x:c r="C10" s="60" t="str">
        <x:v>Ayuda, pruebas, build limpio y documentación</x:v>
      </x:c>
      <x:c r="D10" s="60" t="str">
        <x:v>Estabilizar la tercera entrega</x:v>
      </x:c>
      <x:c r="E10" s="60" t="str">
        <x:v>Mantenibilidad y calidad</x:v>
      </x:c>
      <x:c r="F10" s="60" t="str">
        <x:v>Equipo SIGA</x:v>
      </x:c>
      <x:c r="G10" s="61" t="str">
        <x:v>Completado</x:v>
      </x:c>
    </x:row>
  </x:sheetData>
  <x:mergeCells>
    <x:mergeCell ref="A1:G2"/>
  </x:mergeCells>
  <x:conditionalFormatting sqref="G5:G10">
    <x:cfRule type="containsText" dxfId="3" priority="1" operator="containsText" text="Completad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9" hidden="0" customWidth="1"/>
    <x:col min="4" max="4" width="38" hidden="0" customWidth="1"/>
    <x:col min="5" max="5" width="25" hidden="0" customWidth="1"/>
    <x:col min="6" max="6" width="19" hidden="0" customWidth="1"/>
  </x:cols>
  <x:sheetData>
    <x:row r="1">
      <x:c r="A1" s="37" t="str">
        <x:v>Matriz de trazabilidad de requisitos</x:v>
      </x:c>
      <x:c r="B1" s="37"/>
      <x:c r="C1" s="37"/>
      <x:c r="D1" s="37"/>
      <x:c r="E1" s="37"/>
      <x:c r="F1" s="37"/>
    </x:row>
    <x:row r="2">
      <x:c r="A2" s="37"/>
      <x:c r="B2" s="37"/>
      <x:c r="C2" s="37"/>
      <x:c r="D2" s="37"/>
      <x:c r="E2" s="37"/>
      <x:c r="F2" s="37"/>
    </x:row>
    <x:row r="4">
      <x:c r="A4" s="38" t="str">
        <x:v>ID</x:v>
      </x:c>
      <x:c r="B4" s="38" t="str">
        <x:v>Requisito</x:v>
      </x:c>
      <x:c r="C4" s="38" t="str">
        <x:v>Módulo</x:v>
      </x:c>
      <x:c r="D4" s="38" t="str">
        <x:v>Implementación</x:v>
      </x:c>
      <x:c r="E4" s="38" t="str">
        <x:v>Pruebas asociadas</x:v>
      </x:c>
      <x:c r="F4" s="38" t="str">
        <x:v>Estado</x:v>
      </x:c>
    </x:row>
    <x:row r="5">
      <x:c r="A5" s="53" t="str">
        <x:v>RF01</x:v>
      </x:c>
      <x:c r="B5" s="54" t="str">
        <x:v>Gestión de menores y pasajeros</x:v>
      </x:c>
      <x:c r="C5" s="54" t="str">
        <x:v>Autoatención</x:v>
      </x:c>
      <x:c r="D5" s="54" t="str">
        <x:v>Registro, autorización y ticket</x:v>
      </x:c>
      <x:c r="E5" s="54" t="str">
        <x:v>CP-12 a CP-14</x:v>
      </x:c>
      <x:c r="F5" s="55" t="str">
        <x:v>Implementado</x:v>
      </x:c>
    </x:row>
    <x:row r="6">
      <x:c r="A6" s="56" t="str">
        <x:v>RF02</x:v>
      </x:c>
      <x:c r="B6" s="57" t="str">
        <x:v>Control vehicular</x:v>
      </x:c>
      <x:c r="C6" s="57" t="str">
        <x:v>Aduana</x:v>
      </x:c>
      <x:c r="D6" s="57" t="str">
        <x:v>QR, LPR, permiso temporal</x:v>
      </x:c>
      <x:c r="E6" s="57" t="str">
        <x:v>CP-04, CP-05, CP-08, CP-09</x:v>
      </x:c>
      <x:c r="F6" s="58" t="str">
        <x:v>Implementado</x:v>
      </x:c>
    </x:row>
    <x:row r="7">
      <x:c r="A7" s="56" t="str">
        <x:v>RF03</x:v>
      </x:c>
      <x:c r="B7" s="57" t="str">
        <x:v>Integración internacional</x:v>
      </x:c>
      <x:c r="C7" s="57" t="str">
        <x:v>Aduana</x:v>
      </x:c>
      <x:c r="D7" s="57" t="str">
        <x:v>Validación simulada con Aduana Argentina</x:v>
      </x:c>
      <x:c r="E7" s="57" t="str">
        <x:v>CP-04</x:v>
      </x:c>
      <x:c r="F7" s="58" t="str">
        <x:v>Simulado</x:v>
      </x:c>
    </x:row>
    <x:row r="8">
      <x:c r="A8" s="56" t="str">
        <x:v>RF04</x:v>
      </x:c>
      <x:c r="B8" s="57" t="str">
        <x:v>Declaraciones SAG</x:v>
      </x:c>
      <x:c r="C8" s="57" t="str">
        <x:v>SAG</x:v>
      </x:c>
      <x:c r="D8" s="57" t="str">
        <x:v>Declaración digital y derivación</x:v>
      </x:c>
      <x:c r="E8" s="57" t="str">
        <x:v>CP-10 y CP-11</x:v>
      </x:c>
      <x:c r="F8" s="58" t="str">
        <x:v>Implementado</x:v>
      </x:c>
    </x:row>
    <x:row r="9">
      <x:c r="A9" s="56" t="str">
        <x:v>RF05</x:v>
      </x:c>
      <x:c r="B9" s="57" t="str">
        <x:v>Integración PDI</x:v>
      </x:c>
      <x:c r="C9" s="57" t="str">
        <x:v>Pasajeros</x:v>
      </x:c>
      <x:c r="D9" s="57" t="str">
        <x:v>Validación documental simulada</x:v>
      </x:c>
      <x:c r="E9" s="57" t="str">
        <x:v>CP-12 a CP-14</x:v>
      </x:c>
      <x:c r="F9" s="58" t="str">
        <x:v>Simulado</x:v>
      </x:c>
    </x:row>
    <x:row r="10">
      <x:c r="A10" s="56" t="str">
        <x:v>RF06</x:v>
      </x:c>
      <x:c r="B10" s="57" t="str">
        <x:v>Generación de estadísticas</x:v>
      </x:c>
      <x:c r="C10" s="57" t="str">
        <x:v>Reportes</x:v>
      </x:c>
      <x:c r="D10" s="57" t="str">
        <x:v>Dashboard e indicadores</x:v>
      </x:c>
      <x:c r="E10" s="57" t="str">
        <x:v>CP-15</x:v>
      </x:c>
      <x:c r="F10" s="58" t="str">
        <x:v>Implementado</x:v>
      </x:c>
    </x:row>
    <x:row r="11">
      <x:c r="A11" s="56" t="str">
        <x:v>RF07</x:v>
      </x:c>
      <x:c r="B11" s="57" t="str">
        <x:v>Exportación de reportes</x:v>
      </x:c>
      <x:c r="C11" s="57" t="str">
        <x:v>Reportes</x:v>
      </x:c>
      <x:c r="D11" s="57" t="str">
        <x:v>CSV e impresión PDF</x:v>
      </x:c>
      <x:c r="E11" s="57" t="str">
        <x:v>CP-16</x:v>
      </x:c>
      <x:c r="F11" s="58" t="str">
        <x:v>Implementado</x:v>
      </x:c>
    </x:row>
    <x:row r="12">
      <x:c r="A12" s="56" t="str">
        <x:v>RF08</x:v>
      </x:c>
      <x:c r="B12" s="57" t="str">
        <x:v>Autenticación</x:v>
      </x:c>
      <x:c r="C12" s="57" t="str">
        <x:v>Seguridad</x:v>
      </x:c>
      <x:c r="D12" s="57" t="str">
        <x:v>Usuarios mock y roles</x:v>
      </x:c>
      <x:c r="E12" s="57" t="str">
        <x:v>CP-01 a CP-03</x:v>
      </x:c>
      <x:c r="F12" s="58" t="str">
        <x:v>Implementado</x:v>
      </x:c>
    </x:row>
    <x:row r="13">
      <x:c r="A13" s="56" t="str">
        <x:v>RF09</x:v>
      </x:c>
      <x:c r="B13" s="57" t="str">
        <x:v>Módulo de ayuda</x:v>
      </x:c>
      <x:c r="C13" s="57" t="str">
        <x:v>Ayuda</x:v>
      </x:c>
      <x:c r="D13" s="57" t="str">
        <x:v>Recorrido y alcance</x:v>
      </x:c>
      <x:c r="E13" s="57" t="str">
        <x:v>Revisión visual</x:v>
      </x:c>
      <x:c r="F13" s="58" t="str">
        <x:v>Implementado</x:v>
      </x:c>
    </x:row>
    <x:row r="14">
      <x:c r="A14" s="56" t="str">
        <x:v>RF10</x:v>
      </x:c>
      <x:c r="B14" s="57" t="str">
        <x:v>Control de plazos vehiculares</x:v>
      </x:c>
      <x:c r="C14" s="57" t="str">
        <x:v>Aduana</x:v>
      </x:c>
      <x:c r="D14" s="57" t="str">
        <x:v>180 días particulares / 90 diplomáticos</x:v>
      </x:c>
      <x:c r="E14" s="57" t="str">
        <x:v>CP-06 y CP-07</x:v>
      </x:c>
      <x:c r="F14" s="58" t="str">
        <x:v>Implementado</x:v>
      </x:c>
    </x:row>
    <x:row r="15">
      <x:c r="A15" s="56" t="str">
        <x:v>RNF07</x:v>
      </x:c>
      <x:c r="B15" s="57" t="str">
        <x:v>Portabilidad responsive</x:v>
      </x:c>
      <x:c r="C15" s="57" t="str">
        <x:v>Global</x:v>
      </x:c>
      <x:c r="D15" s="57" t="str">
        <x:v>Desktop, tablet y móvil</x:v>
      </x:c>
      <x:c r="E15" s="57" t="str">
        <x:v>CP-17</x:v>
      </x:c>
      <x:c r="F15" s="58" t="str">
        <x:v>Implementado</x:v>
      </x:c>
    </x:row>
    <x:row r="16">
      <x:c r="A16" s="56" t="str">
        <x:v>RNF09</x:v>
      </x:c>
      <x:c r="B16" s="57" t="str">
        <x:v>Trazabilidad transaccional</x:v>
      </x:c>
      <x:c r="C16" s="57" t="str">
        <x:v>Auditoría</x:v>
      </x:c>
      <x:c r="D16" s="57" t="str">
        <x:v>Usuario, fecha, módulo y resultado</x:v>
      </x:c>
      <x:c r="E16" s="57" t="str">
        <x:v>CP-03</x:v>
      </x:c>
      <x:c r="F16" s="58" t="str">
        <x:v>Implementado</x:v>
      </x:c>
    </x:row>
    <x:row r="17">
      <x:c r="A17" s="59" t="str">
        <x:v>RNF10</x:v>
      </x:c>
      <x:c r="B17" s="60" t="str">
        <x:v>Cierre de sesión inactiva</x:v>
      </x:c>
      <x:c r="C17" s="60" t="str">
        <x:v>Seguridad</x:v>
      </x:c>
      <x:c r="D17" s="60" t="str">
        <x:v>Temporizador de 10 minutos</x:v>
      </x:c>
      <x:c r="E17" s="60" t="str">
        <x:v>Revisión de código</x:v>
      </x:c>
      <x:c r="F17" s="61" t="str">
        <x:v>Implementado</x:v>
      </x:c>
    </x:row>
  </x:sheetData>
  <x:mergeCells>
    <x:mergeCell ref="A1:F2"/>
  </x:mergeCells>
  <x:pageMargins left="0.7" right="0.7" top="0.75" bottom="0.75" header="0.3" footer="0.3"/>
</x:worksheet>
</file>